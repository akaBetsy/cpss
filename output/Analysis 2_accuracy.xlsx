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ehaagsehogeschool.sharepoint.com/sites/ThesisCynthia_groups/Gedeelde documenten/General/"/>
    </mc:Choice>
  </mc:AlternateContent>
  <xr:revisionPtr revIDLastSave="4" documentId="8_{2735190A-2D02-4B84-9DC7-0C14A6F74756}" xr6:coauthVersionLast="47" xr6:coauthVersionMax="47" xr10:uidLastSave="{17065D94-F42E-4EFB-BD4D-31F8213EF971}"/>
  <bookViews>
    <workbookView xWindow="-30" yWindow="75" windowWidth="17295" windowHeight="20835" activeTab="1" xr2:uid="{61DAA251-889F-4867-8835-E8675156F28A}"/>
  </bookViews>
  <sheets>
    <sheet name="analysis2_modat_accuracy" sheetId="1" r:id="rId1"/>
    <sheet name="analysis2_shodan_accuracy" sheetId="2" r:id="rId2"/>
  </sheets>
  <calcPr calcId="0"/>
</workbook>
</file>

<file path=xl/calcChain.xml><?xml version="1.0" encoding="utf-8"?>
<calcChain xmlns="http://schemas.openxmlformats.org/spreadsheetml/2006/main">
  <c r="C12" i="2" l="1"/>
  <c r="B6" i="2"/>
  <c r="B5" i="2"/>
  <c r="B3" i="2"/>
  <c r="C22" i="1"/>
  <c r="B22" i="1"/>
  <c r="C21" i="1"/>
  <c r="B21" i="1"/>
  <c r="B19" i="1"/>
  <c r="C5" i="2" l="1"/>
  <c r="C6" i="2"/>
</calcChain>
</file>

<file path=xl/sharedStrings.xml><?xml version="1.0" encoding="utf-8"?>
<sst xmlns="http://schemas.openxmlformats.org/spreadsheetml/2006/main" count="68" uniqueCount="32">
  <si>
    <t>Access Management</t>
  </si>
  <si>
    <t>Access Management;IoT</t>
  </si>
  <si>
    <t>Alarm;OT</t>
  </si>
  <si>
    <t>Building Automation</t>
  </si>
  <si>
    <t>Building Automation;IoT</t>
  </si>
  <si>
    <t>Building Automation;OT</t>
  </si>
  <si>
    <t>Building Automation;SCADA</t>
  </si>
  <si>
    <t>Camera</t>
  </si>
  <si>
    <t>Camera;IoT</t>
  </si>
  <si>
    <t>Camera;OT</t>
  </si>
  <si>
    <t>IoT;Access Management</t>
  </si>
  <si>
    <t>IoT;Building Automation</t>
  </si>
  <si>
    <t>IoT;Camera</t>
  </si>
  <si>
    <t>OT;Alarm</t>
  </si>
  <si>
    <t>OT;Building Automation</t>
  </si>
  <si>
    <t>OT;Camera</t>
  </si>
  <si>
    <t>SCADA;Building Automation</t>
  </si>
  <si>
    <t>CPSS</t>
  </si>
  <si>
    <t>EACS</t>
  </si>
  <si>
    <t>I&amp;HAS</t>
  </si>
  <si>
    <t>VSS</t>
  </si>
  <si>
    <t>CPSS category</t>
  </si>
  <si>
    <t>Platform tagged</t>
  </si>
  <si>
    <t>Analysis 2 identified</t>
  </si>
  <si>
    <t>Not identified</t>
  </si>
  <si>
    <t>row labels</t>
  </si>
  <si>
    <t># IPv4</t>
  </si>
  <si>
    <t>Total</t>
  </si>
  <si>
    <t>analysis 2 validation identification</t>
  </si>
  <si>
    <t>analysis 2 validation categorization</t>
  </si>
  <si>
    <t>accuracy</t>
  </si>
  <si>
    <t>Correct classification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</si>
</sst>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9" fontId="0" fillId="0" borderId="0" xfId="0" applyNumberFormat="1"/>
    <xf numFmtId="0" fontId="17" fillId="33" borderId="0" xfId="0" applyFont="1" applyFill="1"/>
    <xf numFmtId="0" fontId="0" fillId="0" borderId="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erekening" xfId="11" builtinId="22" customBuiltin="1"/>
    <cellStyle name="Controlecel" xfId="13" builtinId="23" customBuiltin="1"/>
    <cellStyle name="Gekoppelde cel" xfId="12" builtinId="24" customBuiltin="1"/>
    <cellStyle name="Goed" xfId="6" builtinId="26" customBuiltin="1"/>
    <cellStyle name="Invoer" xfId="9" builtinId="20" customBuiltin="1"/>
    <cellStyle name="Kop 1" xfId="2" builtinId="16" customBuiltin="1"/>
    <cellStyle name="Kop 2" xfId="3" builtinId="17" customBuiltin="1"/>
    <cellStyle name="Kop 3" xfId="4" builtinId="18" customBuiltin="1"/>
    <cellStyle name="Kop 4" xfId="5" builtinId="19" customBuiltin="1"/>
    <cellStyle name="Neutraal" xfId="8" builtinId="28" customBuiltin="1"/>
    <cellStyle name="Notitie" xfId="15" builtinId="10" customBuiltin="1"/>
    <cellStyle name="Ongeldig" xfId="7" builtinId="27" customBuiltin="1"/>
    <cellStyle name="Standaard" xfId="0" builtinId="0"/>
    <cellStyle name="Titel" xfId="1" builtinId="15" customBuiltin="1"/>
    <cellStyle name="Totaal" xfId="17" builtinId="25" customBuiltin="1"/>
    <cellStyle name="Uitvoer" xfId="10" builtinId="21" customBuiltin="1"/>
    <cellStyle name="Verklarende tekst" xfId="16" builtinId="53" customBuiltin="1"/>
    <cellStyle name="Waarschuwings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A87E-D9FF-40D3-A675-52BB81433615}">
  <dimension ref="A1:D28"/>
  <sheetViews>
    <sheetView workbookViewId="0">
      <selection activeCell="D28" sqref="A1:D28"/>
    </sheetView>
  </sheetViews>
  <sheetFormatPr defaultRowHeight="15" x14ac:dyDescent="0.25"/>
  <cols>
    <col min="1" max="1" width="32.42578125" bestFit="1" customWidth="1"/>
    <col min="2" max="2" width="15.28515625" bestFit="1" customWidth="1"/>
    <col min="3" max="3" width="19.28515625" bestFit="1" customWidth="1"/>
    <col min="4" max="4" width="19.5703125" bestFit="1" customWidth="1"/>
    <col min="6" max="6" width="16" bestFit="1" customWidth="1"/>
  </cols>
  <sheetData>
    <row r="1" spans="1:3" x14ac:dyDescent="0.25">
      <c r="A1" s="2" t="s">
        <v>25</v>
      </c>
      <c r="B1" s="2" t="s">
        <v>26</v>
      </c>
      <c r="C1" s="2" t="s">
        <v>17</v>
      </c>
    </row>
    <row r="2" spans="1:3" x14ac:dyDescent="0.25">
      <c r="A2" t="s">
        <v>0</v>
      </c>
      <c r="B2">
        <v>1</v>
      </c>
      <c r="C2" t="s">
        <v>18</v>
      </c>
    </row>
    <row r="3" spans="1:3" x14ac:dyDescent="0.25">
      <c r="A3" t="s">
        <v>1</v>
      </c>
      <c r="B3">
        <v>119</v>
      </c>
      <c r="C3" t="s">
        <v>18</v>
      </c>
    </row>
    <row r="4" spans="1:3" x14ac:dyDescent="0.25">
      <c r="A4" t="s">
        <v>3</v>
      </c>
      <c r="B4">
        <v>7</v>
      </c>
      <c r="C4" t="s">
        <v>18</v>
      </c>
    </row>
    <row r="5" spans="1:3" x14ac:dyDescent="0.25">
      <c r="A5" t="s">
        <v>4</v>
      </c>
      <c r="B5">
        <v>24</v>
      </c>
      <c r="C5" t="s">
        <v>18</v>
      </c>
    </row>
    <row r="6" spans="1:3" x14ac:dyDescent="0.25">
      <c r="A6" t="s">
        <v>5</v>
      </c>
      <c r="B6">
        <v>3133</v>
      </c>
      <c r="C6" t="s">
        <v>18</v>
      </c>
    </row>
    <row r="7" spans="1:3" x14ac:dyDescent="0.25">
      <c r="A7" t="s">
        <v>6</v>
      </c>
      <c r="B7">
        <v>3</v>
      </c>
      <c r="C7" t="s">
        <v>18</v>
      </c>
    </row>
    <row r="8" spans="1:3" x14ac:dyDescent="0.25">
      <c r="A8" t="s">
        <v>10</v>
      </c>
      <c r="B8">
        <v>133</v>
      </c>
      <c r="C8" t="s">
        <v>18</v>
      </c>
    </row>
    <row r="9" spans="1:3" x14ac:dyDescent="0.25">
      <c r="A9" t="s">
        <v>11</v>
      </c>
      <c r="B9">
        <v>17</v>
      </c>
      <c r="C9" t="s">
        <v>18</v>
      </c>
    </row>
    <row r="10" spans="1:3" x14ac:dyDescent="0.25">
      <c r="A10" t="s">
        <v>14</v>
      </c>
      <c r="B10">
        <v>3379</v>
      </c>
      <c r="C10" t="s">
        <v>18</v>
      </c>
    </row>
    <row r="11" spans="1:3" x14ac:dyDescent="0.25">
      <c r="A11" t="s">
        <v>16</v>
      </c>
      <c r="B11">
        <v>3</v>
      </c>
      <c r="C11" t="s">
        <v>18</v>
      </c>
    </row>
    <row r="12" spans="1:3" x14ac:dyDescent="0.25">
      <c r="A12" t="s">
        <v>2</v>
      </c>
      <c r="B12">
        <v>54</v>
      </c>
      <c r="C12" t="s">
        <v>19</v>
      </c>
    </row>
    <row r="13" spans="1:3" x14ac:dyDescent="0.25">
      <c r="A13" t="s">
        <v>13</v>
      </c>
      <c r="B13">
        <v>68</v>
      </c>
      <c r="C13" t="s">
        <v>19</v>
      </c>
    </row>
    <row r="14" spans="1:3" x14ac:dyDescent="0.25">
      <c r="A14" t="s">
        <v>7</v>
      </c>
      <c r="B14">
        <v>23</v>
      </c>
      <c r="C14" t="s">
        <v>20</v>
      </c>
    </row>
    <row r="15" spans="1:3" x14ac:dyDescent="0.25">
      <c r="A15" t="s">
        <v>8</v>
      </c>
      <c r="B15">
        <v>4799</v>
      </c>
      <c r="C15" t="s">
        <v>20</v>
      </c>
    </row>
    <row r="16" spans="1:3" x14ac:dyDescent="0.25">
      <c r="A16" t="s">
        <v>9</v>
      </c>
      <c r="B16">
        <v>21</v>
      </c>
      <c r="C16" t="s">
        <v>20</v>
      </c>
    </row>
    <row r="17" spans="1:4" x14ac:dyDescent="0.25">
      <c r="A17" t="s">
        <v>12</v>
      </c>
      <c r="B17">
        <v>5136</v>
      </c>
      <c r="C17" t="s">
        <v>20</v>
      </c>
    </row>
    <row r="18" spans="1:4" x14ac:dyDescent="0.25">
      <c r="A18" t="s">
        <v>15</v>
      </c>
      <c r="B18">
        <v>21</v>
      </c>
      <c r="C18" t="s">
        <v>20</v>
      </c>
    </row>
    <row r="19" spans="1:4" x14ac:dyDescent="0.25">
      <c r="A19" s="2" t="s">
        <v>27</v>
      </c>
      <c r="B19" s="2">
        <f>SUM(B2:B18)</f>
        <v>16941</v>
      </c>
    </row>
    <row r="21" spans="1:4" x14ac:dyDescent="0.25">
      <c r="A21" t="s">
        <v>28</v>
      </c>
      <c r="B21">
        <f>SUM(C25:C27)</f>
        <v>16554</v>
      </c>
      <c r="C21" s="1">
        <f>B21/B19</f>
        <v>0.97715601204179214</v>
      </c>
      <c r="D21" t="s">
        <v>30</v>
      </c>
    </row>
    <row r="22" spans="1:4" x14ac:dyDescent="0.25">
      <c r="A22" t="s">
        <v>29</v>
      </c>
      <c r="B22">
        <f>SUM(D25:D27)</f>
        <v>10748</v>
      </c>
      <c r="C22" s="1">
        <f>B22/B19</f>
        <v>0.63443716427601682</v>
      </c>
      <c r="D22" t="s">
        <v>30</v>
      </c>
    </row>
    <row r="24" spans="1:4" x14ac:dyDescent="0.25">
      <c r="A24" s="2" t="s">
        <v>21</v>
      </c>
      <c r="B24" s="2" t="s">
        <v>22</v>
      </c>
      <c r="C24" s="2" t="s">
        <v>23</v>
      </c>
      <c r="D24" s="2" t="s">
        <v>31</v>
      </c>
    </row>
    <row r="25" spans="1:4" x14ac:dyDescent="0.25">
      <c r="A25" t="s">
        <v>18</v>
      </c>
      <c r="B25">
        <v>6819</v>
      </c>
      <c r="C25">
        <v>6832</v>
      </c>
      <c r="D25" s="3">
        <v>6819</v>
      </c>
    </row>
    <row r="26" spans="1:4" x14ac:dyDescent="0.25">
      <c r="A26" t="s">
        <v>20</v>
      </c>
      <c r="B26">
        <v>10000</v>
      </c>
      <c r="C26">
        <v>3807</v>
      </c>
      <c r="D26" s="3">
        <v>3807</v>
      </c>
    </row>
    <row r="27" spans="1:4" x14ac:dyDescent="0.25">
      <c r="A27" t="s">
        <v>19</v>
      </c>
      <c r="B27">
        <v>122</v>
      </c>
      <c r="C27">
        <v>5915</v>
      </c>
      <c r="D27" s="3">
        <v>122</v>
      </c>
    </row>
    <row r="28" spans="1:4" x14ac:dyDescent="0.25">
      <c r="A28" t="s">
        <v>24</v>
      </c>
      <c r="C28">
        <v>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A060D-E4F5-4C75-A89E-C2AD2DD52B91}">
  <dimension ref="A1:D12"/>
  <sheetViews>
    <sheetView tabSelected="1" workbookViewId="0">
      <selection activeCell="H9" sqref="H9"/>
    </sheetView>
  </sheetViews>
  <sheetFormatPr defaultRowHeight="15" x14ac:dyDescent="0.25"/>
  <cols>
    <col min="1" max="1" width="32.42578125" bestFit="1" customWidth="1"/>
    <col min="2" max="3" width="15.28515625" bestFit="1" customWidth="1"/>
    <col min="4" max="4" width="19.28515625" bestFit="1" customWidth="1"/>
    <col min="6" max="6" width="13.7109375" bestFit="1" customWidth="1"/>
  </cols>
  <sheetData>
    <row r="1" spans="1:4" x14ac:dyDescent="0.25">
      <c r="A1" s="2" t="s">
        <v>25</v>
      </c>
      <c r="B1" s="2" t="s">
        <v>26</v>
      </c>
      <c r="C1" s="2" t="s">
        <v>17</v>
      </c>
    </row>
    <row r="2" spans="1:4" x14ac:dyDescent="0.25">
      <c r="A2" t="s">
        <v>7</v>
      </c>
      <c r="B2">
        <v>10000</v>
      </c>
      <c r="C2" t="s">
        <v>20</v>
      </c>
    </row>
    <row r="3" spans="1:4" x14ac:dyDescent="0.25">
      <c r="A3" s="2" t="s">
        <v>27</v>
      </c>
      <c r="B3" s="2">
        <f>SUM(B2:B2)</f>
        <v>10000</v>
      </c>
    </row>
    <row r="5" spans="1:4" x14ac:dyDescent="0.25">
      <c r="A5" t="s">
        <v>28</v>
      </c>
      <c r="B5">
        <f>SUM(C9:C11)</f>
        <v>9153</v>
      </c>
      <c r="C5" s="1">
        <f>B5/B3</f>
        <v>0.9153</v>
      </c>
      <c r="D5" t="s">
        <v>30</v>
      </c>
    </row>
    <row r="6" spans="1:4" x14ac:dyDescent="0.25">
      <c r="A6" t="s">
        <v>29</v>
      </c>
      <c r="B6">
        <f>SUM(D9:D11)</f>
        <v>9153</v>
      </c>
      <c r="C6" s="1">
        <f>B6/B3</f>
        <v>0.9153</v>
      </c>
      <c r="D6" t="s">
        <v>30</v>
      </c>
    </row>
    <row r="8" spans="1:4" x14ac:dyDescent="0.25">
      <c r="A8" s="2" t="s">
        <v>21</v>
      </c>
      <c r="B8" s="2" t="s">
        <v>22</v>
      </c>
      <c r="C8" s="2" t="s">
        <v>23</v>
      </c>
      <c r="D8" s="2" t="s">
        <v>31</v>
      </c>
    </row>
    <row r="9" spans="1:4" x14ac:dyDescent="0.25">
      <c r="A9" t="s">
        <v>18</v>
      </c>
      <c r="B9">
        <v>0</v>
      </c>
      <c r="C9">
        <v>0</v>
      </c>
      <c r="D9" s="3">
        <v>0</v>
      </c>
    </row>
    <row r="10" spans="1:4" x14ac:dyDescent="0.25">
      <c r="A10" t="s">
        <v>20</v>
      </c>
      <c r="B10">
        <v>10000</v>
      </c>
      <c r="C10">
        <v>9153</v>
      </c>
      <c r="D10">
        <v>9153</v>
      </c>
    </row>
    <row r="11" spans="1:4" x14ac:dyDescent="0.25">
      <c r="A11" t="s">
        <v>19</v>
      </c>
      <c r="B11">
        <v>0</v>
      </c>
      <c r="C11">
        <v>0</v>
      </c>
      <c r="D11" s="3">
        <v>0</v>
      </c>
    </row>
    <row r="12" spans="1:4" x14ac:dyDescent="0.25">
      <c r="A12" t="s">
        <v>24</v>
      </c>
      <c r="C12">
        <f>B10-C10</f>
        <v>847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3AB3C0A2449FA4BA3FF59A6B6C468BF" ma:contentTypeVersion="3" ma:contentTypeDescription="Een nieuw document maken." ma:contentTypeScope="" ma:versionID="99cdeb88d7d4eac9b5cc92cf3455ceac">
  <xsd:schema xmlns:xsd="http://www.w3.org/2001/XMLSchema" xmlns:xs="http://www.w3.org/2001/XMLSchema" xmlns:p="http://schemas.microsoft.com/office/2006/metadata/properties" xmlns:ns2="b6021a72-19ab-4134-b505-f38498d56b83" targetNamespace="http://schemas.microsoft.com/office/2006/metadata/properties" ma:root="true" ma:fieldsID="f0c39996e57e59ab1e5091cf26a9c250" ns2:_="">
    <xsd:import namespace="b6021a72-19ab-4134-b505-f38498d56b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021a72-19ab-4134-b505-f38498d56b8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00802D3-08AA-4336-945B-829C9140F4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021a72-19ab-4134-b505-f38498d56b8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7CB5FB-330F-4072-8293-A058817930D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FEA8040-24A3-4C89-ADE4-821B53F67116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b6021a72-19ab-4134-b505-f38498d56b83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analysis2_modat_accuracy</vt:lpstr>
      <vt:lpstr>analysis2_shodan_accuracy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 Schouten</dc:creator>
  <cp:lastModifiedBy>Cynthia Schouten (23177322)</cp:lastModifiedBy>
  <dcterms:created xsi:type="dcterms:W3CDTF">2026-01-10T17:45:09Z</dcterms:created>
  <dcterms:modified xsi:type="dcterms:W3CDTF">2026-01-10T17:58:52Z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0x010100A3AB3C0A2449FA4BA3FF59A6B6C468BF</vt:lpwstr>
  </property>
</Properties>
</file>